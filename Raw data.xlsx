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04398964b6d5377/Desktop/"/>
    </mc:Choice>
  </mc:AlternateContent>
  <xr:revisionPtr revIDLastSave="154" documentId="11_2C44BDEC2040C98AC652E42034F0C9A21998AE2F" xr6:coauthVersionLast="47" xr6:coauthVersionMax="47" xr10:uidLastSave="{BB8E02DC-8EEF-4454-B335-BFFAF31E0616}"/>
  <bookViews>
    <workbookView xWindow="-108" yWindow="-108" windowWidth="23256" windowHeight="12456" activeTab="1" xr2:uid="{00000000-000D-0000-FFFF-FFFF00000000}"/>
  </bookViews>
  <sheets>
    <sheet name="Raw_Data" sheetId="1" r:id="rId1"/>
    <sheet name="E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<sst xmlns="http://schemas.openxmlformats.org/spreadsheetml/2006/main" count="52" uniqueCount="33">
  <si>
    <t>Date</t>
  </si>
  <si>
    <t>customer Id</t>
  </si>
  <si>
    <t>Product</t>
  </si>
  <si>
    <t>Region</t>
  </si>
  <si>
    <t>Sales_Amount</t>
  </si>
  <si>
    <t>Quantity</t>
  </si>
  <si>
    <t>cost</t>
  </si>
  <si>
    <t>Profit</t>
  </si>
  <si>
    <t>Laptop</t>
  </si>
  <si>
    <t>Mouse</t>
  </si>
  <si>
    <t xml:space="preserve">Keyboard </t>
  </si>
  <si>
    <t>Monitor</t>
  </si>
  <si>
    <t>Printer</t>
  </si>
  <si>
    <t>Headset</t>
  </si>
  <si>
    <t>Tablet</t>
  </si>
  <si>
    <t>North</t>
  </si>
  <si>
    <t>South</t>
  </si>
  <si>
    <t>East</t>
  </si>
  <si>
    <t>West</t>
  </si>
  <si>
    <t>Metric</t>
  </si>
  <si>
    <t>Formula</t>
  </si>
  <si>
    <t>Total Sales</t>
  </si>
  <si>
    <t>Total Quantity Sold</t>
  </si>
  <si>
    <t>Total Profit</t>
  </si>
  <si>
    <t>Average Order Value</t>
  </si>
  <si>
    <t>Profit Margin</t>
  </si>
  <si>
    <t xml:space="preserve"> Create KPI Calculation</t>
  </si>
  <si>
    <t>A1: KPI Name        B1: Value</t>
  </si>
  <si>
    <t>A3: Total Profit   B3: =SUM(Raw_Data!H:H)</t>
  </si>
  <si>
    <t>A4: Profit Margin  B4: =B3/B2</t>
  </si>
  <si>
    <t>A5: Total Orders   B5: =COUNTA(Raw_Data!Customer_ID)</t>
  </si>
  <si>
    <t xml:space="preserve">Total order </t>
  </si>
  <si>
    <t>A2: Total Sales     B2: =SUM(Raw_Data!E:E)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</si>
</sst>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C20" sqref="C20"/>
    </sheetView>
  </sheetViews>
  <sheetFormatPr defaultRowHeight="14.4"/>
  <cols>
    <col min="1" max="10" width="16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>
        <v>1001</v>
      </c>
      <c r="C2" t="s">
        <v>8</v>
      </c>
      <c r="D2" t="s">
        <v>15</v>
      </c>
      <c r="E2">
        <v>60000</v>
      </c>
      <c r="F2">
        <v>1</v>
      </c>
      <c r="G2">
        <v>50000</v>
      </c>
      <c r="H2">
        <f>E2-G2</f>
        <v>10000</v>
      </c>
    </row>
    <row r="3" spans="1:8">
      <c r="A3" s="1">
        <v>46024</v>
      </c>
      <c r="B3">
        <v>1002</v>
      </c>
      <c r="C3" t="s">
        <v>9</v>
      </c>
      <c r="D3" t="s">
        <v>16</v>
      </c>
      <c r="E3">
        <v>800</v>
      </c>
      <c r="F3">
        <v>2</v>
      </c>
      <c r="G3">
        <v>500</v>
      </c>
      <c r="H3">
        <f t="shared" ref="H3:H16" si="0">E3-G3</f>
        <v>300</v>
      </c>
    </row>
    <row r="4" spans="1:8">
      <c r="A4" s="1">
        <v>46025</v>
      </c>
      <c r="B4">
        <v>1003</v>
      </c>
      <c r="C4" t="s">
        <v>10</v>
      </c>
      <c r="D4" t="s">
        <v>17</v>
      </c>
      <c r="E4">
        <v>1500</v>
      </c>
      <c r="F4">
        <v>1</v>
      </c>
      <c r="G4">
        <v>1000</v>
      </c>
      <c r="H4">
        <f t="shared" si="0"/>
        <v>500</v>
      </c>
    </row>
    <row r="5" spans="1:8">
      <c r="A5" s="1">
        <v>46026</v>
      </c>
      <c r="B5">
        <v>1004</v>
      </c>
      <c r="C5" t="s">
        <v>11</v>
      </c>
      <c r="D5" t="s">
        <v>18</v>
      </c>
      <c r="E5">
        <v>12000</v>
      </c>
      <c r="F5">
        <v>1</v>
      </c>
      <c r="G5">
        <v>9500</v>
      </c>
      <c r="H5">
        <f t="shared" si="0"/>
        <v>2500</v>
      </c>
    </row>
    <row r="6" spans="1:8">
      <c r="A6" s="1">
        <v>46027</v>
      </c>
      <c r="B6">
        <v>1005</v>
      </c>
      <c r="C6" t="s">
        <v>12</v>
      </c>
      <c r="D6" t="s">
        <v>15</v>
      </c>
      <c r="E6">
        <v>9000</v>
      </c>
      <c r="F6">
        <v>1</v>
      </c>
      <c r="G6">
        <v>7000</v>
      </c>
      <c r="H6">
        <f t="shared" si="0"/>
        <v>2000</v>
      </c>
    </row>
    <row r="7" spans="1:8">
      <c r="A7" s="1">
        <v>46028</v>
      </c>
      <c r="B7">
        <v>1006</v>
      </c>
      <c r="C7" t="s">
        <v>8</v>
      </c>
      <c r="D7" t="s">
        <v>16</v>
      </c>
      <c r="E7">
        <v>62000</v>
      </c>
      <c r="F7">
        <v>1</v>
      </c>
      <c r="G7">
        <v>52000</v>
      </c>
      <c r="H7">
        <f t="shared" si="0"/>
        <v>10000</v>
      </c>
    </row>
    <row r="8" spans="1:8">
      <c r="A8" s="1">
        <v>46029</v>
      </c>
      <c r="B8">
        <v>1007</v>
      </c>
      <c r="C8" t="s">
        <v>13</v>
      </c>
      <c r="D8" t="s">
        <v>17</v>
      </c>
      <c r="E8">
        <v>2000</v>
      </c>
      <c r="F8">
        <v>2</v>
      </c>
      <c r="G8">
        <v>1400</v>
      </c>
      <c r="H8">
        <f t="shared" si="0"/>
        <v>600</v>
      </c>
    </row>
    <row r="9" spans="1:8">
      <c r="A9" s="1">
        <v>46030</v>
      </c>
      <c r="B9">
        <v>1008</v>
      </c>
      <c r="C9" t="s">
        <v>14</v>
      </c>
      <c r="D9" t="s">
        <v>18</v>
      </c>
      <c r="E9">
        <v>25000</v>
      </c>
      <c r="F9">
        <v>1</v>
      </c>
      <c r="G9">
        <v>21000</v>
      </c>
      <c r="H9">
        <f t="shared" si="0"/>
        <v>4000</v>
      </c>
    </row>
    <row r="10" spans="1:8">
      <c r="A10" s="1">
        <v>46031</v>
      </c>
      <c r="B10">
        <v>1009</v>
      </c>
      <c r="C10" t="s">
        <v>9</v>
      </c>
      <c r="D10" t="s">
        <v>15</v>
      </c>
      <c r="E10">
        <v>400</v>
      </c>
      <c r="F10">
        <v>1</v>
      </c>
      <c r="G10">
        <v>250</v>
      </c>
      <c r="H10">
        <f t="shared" si="0"/>
        <v>150</v>
      </c>
    </row>
    <row r="11" spans="1:8">
      <c r="A11" s="1">
        <v>46032</v>
      </c>
      <c r="B11">
        <v>1010</v>
      </c>
      <c r="C11" t="s">
        <v>10</v>
      </c>
      <c r="D11" t="s">
        <v>16</v>
      </c>
      <c r="E11">
        <v>1600</v>
      </c>
      <c r="F11">
        <v>1</v>
      </c>
      <c r="G11">
        <v>1100</v>
      </c>
      <c r="H11">
        <f t="shared" si="0"/>
        <v>500</v>
      </c>
    </row>
    <row r="12" spans="1:8">
      <c r="A12" s="1">
        <v>46033</v>
      </c>
      <c r="B12">
        <v>1011</v>
      </c>
      <c r="C12" t="s">
        <v>11</v>
      </c>
      <c r="D12" t="s">
        <v>17</v>
      </c>
      <c r="E12">
        <v>13000</v>
      </c>
      <c r="F12">
        <v>1</v>
      </c>
      <c r="G12">
        <v>10000</v>
      </c>
      <c r="H12">
        <f t="shared" si="0"/>
        <v>3000</v>
      </c>
    </row>
    <row r="13" spans="1:8">
      <c r="A13" s="1">
        <v>46034</v>
      </c>
      <c r="B13">
        <v>1012</v>
      </c>
      <c r="C13" t="s">
        <v>8</v>
      </c>
      <c r="D13" t="s">
        <v>18</v>
      </c>
      <c r="E13">
        <v>58000</v>
      </c>
      <c r="F13">
        <v>1</v>
      </c>
      <c r="G13">
        <v>48000</v>
      </c>
      <c r="H13">
        <f t="shared" si="0"/>
        <v>10000</v>
      </c>
    </row>
    <row r="14" spans="1:8">
      <c r="A14" s="1">
        <v>46035</v>
      </c>
      <c r="B14">
        <v>1013</v>
      </c>
      <c r="C14" t="s">
        <v>12</v>
      </c>
      <c r="D14" t="s">
        <v>15</v>
      </c>
      <c r="E14">
        <v>9500</v>
      </c>
      <c r="F14">
        <v>1</v>
      </c>
      <c r="G14">
        <v>7500</v>
      </c>
      <c r="H14">
        <f t="shared" si="0"/>
        <v>2000</v>
      </c>
    </row>
    <row r="15" spans="1:8">
      <c r="A15" s="1">
        <v>46036</v>
      </c>
      <c r="B15">
        <v>1014</v>
      </c>
      <c r="C15" t="s">
        <v>14</v>
      </c>
      <c r="D15" t="s">
        <v>16</v>
      </c>
      <c r="E15">
        <v>24000</v>
      </c>
      <c r="F15">
        <v>1</v>
      </c>
      <c r="G15">
        <v>20000</v>
      </c>
      <c r="H15">
        <f t="shared" si="0"/>
        <v>4000</v>
      </c>
    </row>
    <row r="16" spans="1:8">
      <c r="A16" s="1">
        <v>46037</v>
      </c>
      <c r="B16">
        <v>1015</v>
      </c>
      <c r="C16" t="s">
        <v>13</v>
      </c>
      <c r="D16" t="s">
        <v>17</v>
      </c>
      <c r="E16">
        <v>1800</v>
      </c>
      <c r="F16">
        <v>2</v>
      </c>
      <c r="G16">
        <v>1200</v>
      </c>
      <c r="H16">
        <f t="shared" si="0"/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B1A3-1A5D-4AD4-A5C2-D510F8ACA6A9}">
  <dimension ref="A2:D18"/>
  <sheetViews>
    <sheetView tabSelected="1" workbookViewId="0">
      <selection activeCell="B24" sqref="B24"/>
    </sheetView>
  </sheetViews>
  <sheetFormatPr defaultRowHeight="14.4"/>
  <cols>
    <col min="1" max="1" width="25.21875" customWidth="1"/>
    <col min="2" max="2" width="17.88671875" customWidth="1"/>
    <col min="3" max="3" width="48.6640625" customWidth="1"/>
  </cols>
  <sheetData>
    <row r="2" spans="1:4">
      <c r="A2" s="2" t="s">
        <v>19</v>
      </c>
      <c r="B2" s="2" t="s">
        <v>20</v>
      </c>
    </row>
    <row r="3" spans="1:4">
      <c r="A3" s="3" t="s">
        <v>21</v>
      </c>
      <c r="B3" s="4">
        <f>SUM(Raw_Data!E:E)</f>
        <v>280600</v>
      </c>
    </row>
    <row r="4" spans="1:4">
      <c r="A4" s="3" t="s">
        <v>22</v>
      </c>
      <c r="B4" s="4">
        <f>SUM(Raw_Data!F:F)</f>
        <v>18</v>
      </c>
    </row>
    <row r="5" spans="1:4">
      <c r="A5" s="3" t="s">
        <v>23</v>
      </c>
      <c r="B5" s="4">
        <f>SUM(Raw_Data!H:H)</f>
        <v>50150</v>
      </c>
    </row>
    <row r="6" spans="1:4">
      <c r="A6" s="3" t="s">
        <v>24</v>
      </c>
      <c r="B6" s="4">
        <f>AVERAGE(Raw_Data!E:E)</f>
        <v>18706.666666666668</v>
      </c>
    </row>
    <row r="7" spans="1:4">
      <c r="A7" s="3" t="s">
        <v>25</v>
      </c>
      <c r="B7" s="5">
        <f>50150/280600</f>
        <v>0.17872416250890949</v>
      </c>
    </row>
    <row r="8" spans="1:4">
      <c r="A8" s="3" t="s">
        <v>31</v>
      </c>
      <c r="B8">
        <f>COUNTA(Raw_Data!Customer_ID)</f>
        <v>1</v>
      </c>
    </row>
    <row r="9" spans="1:4">
      <c r="A9" s="3"/>
    </row>
    <row r="12" spans="1:4" ht="18">
      <c r="C12" s="6" t="s">
        <v>26</v>
      </c>
      <c r="D12" s="6"/>
    </row>
    <row r="14" spans="1:4">
      <c r="C14" t="s">
        <v>27</v>
      </c>
    </row>
    <row r="15" spans="1:4">
      <c r="C15" t="s">
        <v>32</v>
      </c>
    </row>
    <row r="16" spans="1:4">
      <c r="C16" t="s">
        <v>28</v>
      </c>
    </row>
    <row r="17" spans="3:3">
      <c r="C17" t="s">
        <v>29</v>
      </c>
    </row>
    <row r="18" spans="3:3">
      <c r="C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Rukhsar Parveen</dc:creator>
  <cp:lastModifiedBy>Rukhsar Parveen</cp:lastModifiedBy>
  <dcterms:created xsi:type="dcterms:W3CDTF">2015-06-05T18:17:20Z</dcterms:created>
  <dcterms:modified xsi:type="dcterms:W3CDTF">2026-02-04T16:15:03Z</dcterms:modified>
</cp:coreProperties>
</file>